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felipe.local\Videos\Controle de investimentos\"/>
    </mc:Choice>
  </mc:AlternateContent>
  <xr:revisionPtr revIDLastSave="0" documentId="8_{F60C4BCF-6BD3-479D-96E6-B71409640B79}" xr6:coauthVersionLast="47" xr6:coauthVersionMax="47" xr10:uidLastSave="{00000000-0000-0000-0000-000000000000}"/>
  <bookViews>
    <workbookView xWindow="-20610" yWindow="630" windowWidth="20730" windowHeight="11760" tabRatio="345" xr2:uid="{D63472A4-8300-4934-9C87-0EC792DCF89D}"/>
  </bookViews>
  <sheets>
    <sheet name="APP" sheetId="1" r:id="rId1"/>
    <sheet name="Planilha2" sheetId="2" r:id="rId2"/>
  </sheets>
  <definedNames>
    <definedName name="aporte">APP!$D$4</definedName>
    <definedName name="patrimonio">APP!#REF!</definedName>
    <definedName name="qtd_anos">APP!#REF!</definedName>
    <definedName name="rendimento_carteira">APP!#REF!</definedName>
    <definedName name="salario">APP!#REF!</definedName>
    <definedName name="sugestao_investimento">APP!#REF!</definedName>
    <definedName name="taxa_mensal">APP!$D$5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C16" i="1" s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D16" i="1" l="1"/>
  <c r="C15" i="1"/>
  <c r="D15" i="1" s="1"/>
  <c r="C14" i="1"/>
  <c r="D14" i="1" s="1"/>
  <c r="C13" i="1"/>
  <c r="D13" i="1" s="1"/>
  <c r="C12" i="1"/>
  <c r="D12" i="1" s="1"/>
</calcChain>
</file>

<file path=xl/sharedStrings.xml><?xml version="1.0" encoding="utf-8"?>
<sst xmlns="http://schemas.openxmlformats.org/spreadsheetml/2006/main" count="59" uniqueCount="28">
  <si>
    <t>INVESTIMENTO MENSAL</t>
  </si>
  <si>
    <t>Digitar Quanto Investir Por Mês ?</t>
  </si>
  <si>
    <t>Selecionar Perfil dos Investimentos ?</t>
  </si>
  <si>
    <t>Moderado</t>
  </si>
  <si>
    <t>Taxa de Rendimento Mensal ?</t>
  </si>
  <si>
    <t>Equilibrado</t>
  </si>
  <si>
    <t>Agressivo</t>
  </si>
  <si>
    <t>CENÁRIOS</t>
  </si>
  <si>
    <t>PERIODO</t>
  </si>
  <si>
    <t>PATRIMONIO</t>
  </si>
  <si>
    <t>RENDA MENSAL</t>
  </si>
  <si>
    <t>Quanto em 2 Anos ?</t>
  </si>
  <si>
    <t>Quanto em 5 Anos ?</t>
  </si>
  <si>
    <t>Quanto em 10 Anos ?</t>
  </si>
  <si>
    <t>Quanto em 20 Anos ?</t>
  </si>
  <si>
    <t>Quanto em 30 Anos ?</t>
  </si>
  <si>
    <t>CHAVE</t>
  </si>
  <si>
    <t>PERFIL</t>
  </si>
  <si>
    <t>TIPO DE FII</t>
  </si>
  <si>
    <t>%</t>
  </si>
  <si>
    <t>Conservador</t>
  </si>
  <si>
    <t>PAPEL</t>
  </si>
  <si>
    <t>TIJOLO</t>
  </si>
  <si>
    <t>Moderado-TIJOLO</t>
  </si>
  <si>
    <t>HÍBRIDOS</t>
  </si>
  <si>
    <t>FOFs</t>
  </si>
  <si>
    <t>DESENVOLVIMENTO</t>
  </si>
  <si>
    <t>HOTELARIAS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</si>
</sst>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rgb="FFC00000"/>
      <name val="Segoe UI"/>
    </font>
    <font>
      <b/>
      <sz val="14"/>
      <color rgb="FFFFFFFF"/>
      <name val="Segoe UI Semibold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 style="thick">
        <color rgb="FF000000"/>
      </right>
      <top style="medium">
        <color indexed="64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indexed="64"/>
      </top>
      <bottom style="medium">
        <color rgb="FF000000"/>
      </bottom>
      <diagonal/>
    </border>
    <border>
      <left style="thick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164" fontId="7" fillId="0" borderId="7" xfId="0" applyNumberFormat="1" applyFont="1" applyBorder="1" applyAlignment="1">
      <alignment horizontal="center"/>
    </xf>
    <xf numFmtId="0" fontId="2" fillId="2" borderId="0" xfId="2"/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9" fontId="0" fillId="6" borderId="0" xfId="0" applyNumberFormat="1" applyFill="1" applyAlignment="1">
      <alignment horizontal="center"/>
    </xf>
    <xf numFmtId="9" fontId="2" fillId="2" borderId="0" xfId="1" applyFont="1" applyFill="1"/>
    <xf numFmtId="0" fontId="3" fillId="7" borderId="0" xfId="0" applyFont="1" applyFill="1"/>
    <xf numFmtId="0" fontId="3" fillId="7" borderId="0" xfId="0" applyFont="1" applyFill="1" applyAlignment="1">
      <alignment horizontal="center"/>
    </xf>
    <xf numFmtId="0" fontId="5" fillId="5" borderId="5" xfId="0" applyFont="1" applyFill="1" applyBorder="1" applyAlignment="1">
      <alignment horizontal="left" indent="3"/>
    </xf>
    <xf numFmtId="0" fontId="5" fillId="5" borderId="6" xfId="0" applyFont="1" applyFill="1" applyBorder="1" applyAlignment="1">
      <alignment horizontal="left" indent="3"/>
    </xf>
    <xf numFmtId="0" fontId="5" fillId="5" borderId="8" xfId="0" applyFont="1" applyFill="1" applyBorder="1" applyAlignment="1">
      <alignment horizontal="left" indent="3"/>
    </xf>
    <xf numFmtId="0" fontId="5" fillId="5" borderId="9" xfId="0" applyFont="1" applyFill="1" applyBorder="1" applyAlignment="1">
      <alignment horizontal="left" indent="3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0" fontId="7" fillId="0" borderId="0" xfId="0" applyNumberFormat="1" applyFont="1" applyBorder="1" applyAlignment="1">
      <alignment horizontal="center"/>
    </xf>
    <xf numFmtId="10" fontId="0" fillId="0" borderId="0" xfId="0" applyNumberFormat="1"/>
    <xf numFmtId="0" fontId="9" fillId="3" borderId="12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left" indent="3"/>
    </xf>
    <xf numFmtId="44" fontId="6" fillId="4" borderId="16" xfId="0" applyNumberFormat="1" applyFont="1" applyFill="1" applyBorder="1" applyAlignment="1">
      <alignment horizontal="right"/>
    </xf>
    <xf numFmtId="44" fontId="6" fillId="4" borderId="17" xfId="0" applyNumberFormat="1" applyFont="1" applyFill="1" applyBorder="1" applyAlignment="1">
      <alignment horizontal="right"/>
    </xf>
    <xf numFmtId="0" fontId="5" fillId="4" borderId="18" xfId="0" applyFont="1" applyFill="1" applyBorder="1" applyAlignment="1">
      <alignment horizontal="left" indent="3"/>
    </xf>
    <xf numFmtId="44" fontId="6" fillId="4" borderId="11" xfId="0" applyNumberFormat="1" applyFont="1" applyFill="1" applyBorder="1" applyAlignment="1">
      <alignment horizontal="right"/>
    </xf>
    <xf numFmtId="44" fontId="6" fillId="4" borderId="19" xfId="0" applyNumberFormat="1" applyFont="1" applyFill="1" applyBorder="1" applyAlignment="1">
      <alignment horizontal="right"/>
    </xf>
    <xf numFmtId="0" fontId="5" fillId="4" borderId="20" xfId="0" applyFont="1" applyFill="1" applyBorder="1" applyAlignment="1">
      <alignment horizontal="left" indent="3"/>
    </xf>
    <xf numFmtId="44" fontId="6" fillId="4" borderId="21" xfId="0" applyNumberFormat="1" applyFont="1" applyFill="1" applyBorder="1" applyAlignment="1">
      <alignment horizontal="right"/>
    </xf>
    <xf numFmtId="44" fontId="6" fillId="4" borderId="22" xfId="0" applyNumberFormat="1" applyFont="1" applyFill="1" applyBorder="1" applyAlignment="1">
      <alignment horizontal="right"/>
    </xf>
    <xf numFmtId="49" fontId="8" fillId="6" borderId="10" xfId="0" applyNumberFormat="1" applyFont="1" applyFill="1" applyBorder="1" applyAlignment="1">
      <alignment horizontal="center" wrapText="1"/>
    </xf>
    <xf numFmtId="10" fontId="7" fillId="8" borderId="7" xfId="0" applyNumberFormat="1" applyFont="1" applyFill="1" applyBorder="1" applyAlignment="1">
      <alignment horizontal="center"/>
    </xf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:H19"/>
  <sheetViews>
    <sheetView showGridLines="0" tabSelected="1" zoomScale="110" zoomScaleNormal="110" workbookViewId="0">
      <selection activeCell="D5" sqref="D5"/>
    </sheetView>
  </sheetViews>
  <sheetFormatPr defaultColWidth="0" defaultRowHeight="14.45"/>
  <cols>
    <col min="1" max="1" width="5.42578125" customWidth="1"/>
    <col min="2" max="2" width="46.85546875" customWidth="1"/>
    <col min="3" max="3" width="18.28515625" customWidth="1"/>
    <col min="4" max="4" width="15" customWidth="1"/>
    <col min="5" max="6" width="3.5703125" customWidth="1"/>
    <col min="7" max="7" width="3.5703125" hidden="1" customWidth="1"/>
    <col min="8" max="8" width="8.140625" hidden="1" customWidth="1"/>
    <col min="9" max="16384" width="8.7109375" hidden="1"/>
  </cols>
  <sheetData>
    <row r="1" spans="1:8" ht="15" thickBot="1"/>
    <row r="2" spans="1:8" ht="15"/>
    <row r="3" spans="1:8" ht="28.5" customHeight="1">
      <c r="B3" s="20" t="s">
        <v>0</v>
      </c>
      <c r="C3" s="21"/>
      <c r="D3" s="22"/>
    </row>
    <row r="4" spans="1:8" ht="17.25">
      <c r="B4" s="16" t="s">
        <v>1</v>
      </c>
      <c r="C4" s="17"/>
      <c r="D4" s="5">
        <v>220</v>
      </c>
    </row>
    <row r="5" spans="1:8" ht="17.25">
      <c r="B5" s="18" t="s">
        <v>2</v>
      </c>
      <c r="C5" s="19"/>
      <c r="D5" s="37" t="s">
        <v>3</v>
      </c>
      <c r="G5" t="s">
        <v>3</v>
      </c>
      <c r="H5" s="3">
        <v>0.01</v>
      </c>
    </row>
    <row r="6" spans="1:8" ht="17.25">
      <c r="B6" s="16" t="s">
        <v>4</v>
      </c>
      <c r="C6" s="17"/>
      <c r="D6" s="38">
        <f>VLOOKUP(D5,G5:H7,2,FALSE)</f>
        <v>0.01</v>
      </c>
      <c r="G6" t="s">
        <v>5</v>
      </c>
      <c r="H6" s="24">
        <v>1.2E-2</v>
      </c>
    </row>
    <row r="7" spans="1:8" ht="16.5">
      <c r="B7" s="23"/>
      <c r="C7" s="23"/>
      <c r="D7" s="23"/>
      <c r="G7" t="s">
        <v>6</v>
      </c>
      <c r="H7" s="24">
        <v>1.4999999999999999E-2</v>
      </c>
    </row>
    <row r="8" spans="1:8" ht="16.5">
      <c r="B8" s="23"/>
      <c r="C8" s="23"/>
      <c r="D8" s="23"/>
      <c r="E8" s="23"/>
    </row>
    <row r="9" spans="1:8" ht="30.75">
      <c r="B9" s="20" t="s">
        <v>7</v>
      </c>
      <c r="C9" s="21"/>
      <c r="D9" s="22"/>
      <c r="E9" s="23"/>
    </row>
    <row r="10" spans="1:8" ht="15"/>
    <row r="11" spans="1:8" ht="41.25">
      <c r="B11" s="25" t="s">
        <v>8</v>
      </c>
      <c r="C11" s="26" t="s">
        <v>9</v>
      </c>
      <c r="D11" s="27" t="s">
        <v>10</v>
      </c>
    </row>
    <row r="12" spans="1:8" ht="17.25">
      <c r="A12" s="1">
        <v>2</v>
      </c>
      <c r="B12" s="28" t="s">
        <v>11</v>
      </c>
      <c r="C12" s="29">
        <f>FV($D$6,24,$D$4*-1)</f>
        <v>5934.1622677021296</v>
      </c>
      <c r="D12" s="30">
        <f>C12*D$6</f>
        <v>59.341622677021299</v>
      </c>
    </row>
    <row r="13" spans="1:8" ht="17.25">
      <c r="A13" s="1">
        <v>5</v>
      </c>
      <c r="B13" s="31" t="s">
        <v>12</v>
      </c>
      <c r="C13" s="32">
        <f>FV($D$6,60,$D$4*-1)</f>
        <v>17967.32736841001</v>
      </c>
      <c r="D13" s="33">
        <f>C13*D$6</f>
        <v>179.67327368410011</v>
      </c>
    </row>
    <row r="14" spans="1:8" ht="17.25">
      <c r="A14" s="1">
        <v>10</v>
      </c>
      <c r="B14" s="31" t="s">
        <v>13</v>
      </c>
      <c r="C14" s="32">
        <f>FV($D$6,120,$D$4*-1)</f>
        <v>50608.511680620737</v>
      </c>
      <c r="D14" s="33">
        <f t="shared" ref="D14:D16" si="0">C14*D$6</f>
        <v>506.0851168062074</v>
      </c>
    </row>
    <row r="15" spans="1:8" ht="17.25">
      <c r="A15" s="1">
        <v>20</v>
      </c>
      <c r="B15" s="31" t="s">
        <v>14</v>
      </c>
      <c r="C15" s="32">
        <f>FV(D6,240,D4*-1)</f>
        <v>217636.18038521986</v>
      </c>
      <c r="D15" s="33">
        <f t="shared" si="0"/>
        <v>2176.3618038521986</v>
      </c>
    </row>
    <row r="16" spans="1:8" ht="17.25">
      <c r="A16" s="1">
        <v>30</v>
      </c>
      <c r="B16" s="34" t="s">
        <v>15</v>
      </c>
      <c r="C16" s="35">
        <f>FV(D6,350,D4*-1)</f>
        <v>693984.30903659086</v>
      </c>
      <c r="D16" s="36">
        <f t="shared" si="0"/>
        <v>6939.8430903659091</v>
      </c>
    </row>
    <row r="17" ht="15"/>
    <row r="18" ht="15"/>
    <row r="19" ht="15"/>
  </sheetData>
  <mergeCells count="5">
    <mergeCell ref="B6:C6"/>
    <mergeCell ref="B9:D9"/>
    <mergeCell ref="B4:C4"/>
    <mergeCell ref="B5:C5"/>
    <mergeCell ref="B3:D3"/>
  </mergeCells>
  <dataValidations count="1">
    <dataValidation type="list" allowBlank="1" showInputMessage="1" showErrorMessage="1" sqref="D5" xr:uid="{9EDBF94D-5BBB-488C-8A9A-92A311E193A6}">
      <formula1>$G$5:$G$7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C7" sqref="C7"/>
    </sheetView>
  </sheetViews>
  <sheetFormatPr defaultRowHeight="14.45"/>
  <cols>
    <col min="1" max="1" width="29.140625" bestFit="1" customWidth="1"/>
    <col min="2" max="2" width="11.5703125" bestFit="1" customWidth="1"/>
    <col min="3" max="3" width="17.7109375" bestFit="1" customWidth="1"/>
    <col min="7" max="7" width="15.42578125" bestFit="1" customWidth="1"/>
  </cols>
  <sheetData>
    <row r="2" spans="1:8">
      <c r="A2" s="14" t="s">
        <v>16</v>
      </c>
      <c r="B2" s="14" t="s">
        <v>17</v>
      </c>
      <c r="C2" s="15" t="s">
        <v>18</v>
      </c>
      <c r="D2" s="15" t="s">
        <v>19</v>
      </c>
    </row>
    <row r="3" spans="1:8">
      <c r="A3" t="str">
        <f>B3&amp;"-"&amp;C3</f>
        <v>Conservador-PAPEL</v>
      </c>
      <c r="B3" t="s">
        <v>20</v>
      </c>
      <c r="C3" s="2" t="s">
        <v>21</v>
      </c>
      <c r="D3" s="4">
        <v>0.3</v>
      </c>
      <c r="H3" t="s">
        <v>19</v>
      </c>
    </row>
    <row r="4" spans="1:8">
      <c r="A4" t="str">
        <f t="shared" ref="A4:A20" si="0">B4&amp;"-"&amp;C4</f>
        <v>Conservador-TIJOLO</v>
      </c>
      <c r="B4" t="s">
        <v>20</v>
      </c>
      <c r="C4" s="2" t="s">
        <v>22</v>
      </c>
      <c r="D4" s="4">
        <v>0.5</v>
      </c>
      <c r="G4" s="6" t="s">
        <v>23</v>
      </c>
      <c r="H4" s="13">
        <f>VLOOKUP(G4,$A:$D,4,FALSE)</f>
        <v>0.35</v>
      </c>
    </row>
    <row r="5" spans="1:8">
      <c r="A5" t="str">
        <f t="shared" si="0"/>
        <v>Conservador-HÍBRIDOS</v>
      </c>
      <c r="B5" t="s">
        <v>20</v>
      </c>
      <c r="C5" s="2" t="s">
        <v>24</v>
      </c>
      <c r="D5" s="4">
        <v>0.1</v>
      </c>
    </row>
    <row r="6" spans="1:8">
      <c r="A6" t="str">
        <f t="shared" si="0"/>
        <v>Conservador-FOFs</v>
      </c>
      <c r="B6" t="s">
        <v>20</v>
      </c>
      <c r="C6" s="2" t="s">
        <v>25</v>
      </c>
      <c r="D6" s="4">
        <v>0.1</v>
      </c>
    </row>
    <row r="7" spans="1:8">
      <c r="A7" t="str">
        <f t="shared" si="0"/>
        <v>Conservador-DESENVOLVIMENTO</v>
      </c>
      <c r="B7" t="s">
        <v>20</v>
      </c>
      <c r="C7" s="2" t="s">
        <v>26</v>
      </c>
      <c r="D7" s="4">
        <v>0</v>
      </c>
    </row>
    <row r="8" spans="1:8" ht="15" thickBot="1">
      <c r="A8" s="7" t="str">
        <f t="shared" si="0"/>
        <v>Conservador-HOTELARIAS</v>
      </c>
      <c r="B8" s="7" t="s">
        <v>20</v>
      </c>
      <c r="C8" s="8" t="s">
        <v>27</v>
      </c>
      <c r="D8" s="9">
        <v>0</v>
      </c>
    </row>
    <row r="9" spans="1:8">
      <c r="A9" t="str">
        <f t="shared" si="0"/>
        <v>Moderado-PAPEL</v>
      </c>
      <c r="B9" t="s">
        <v>3</v>
      </c>
      <c r="C9" s="2" t="s">
        <v>21</v>
      </c>
      <c r="D9" s="4">
        <v>0.32</v>
      </c>
    </row>
    <row r="10" spans="1:8">
      <c r="A10" s="10" t="str">
        <f t="shared" si="0"/>
        <v>Moderado-TIJOLO</v>
      </c>
      <c r="B10" s="10" t="s">
        <v>3</v>
      </c>
      <c r="C10" s="11" t="s">
        <v>22</v>
      </c>
      <c r="D10" s="12">
        <v>0.35</v>
      </c>
    </row>
    <row r="11" spans="1:8">
      <c r="A11" t="str">
        <f t="shared" si="0"/>
        <v>Moderado-HÍBRIDOS</v>
      </c>
      <c r="B11" t="s">
        <v>3</v>
      </c>
      <c r="C11" s="2" t="s">
        <v>24</v>
      </c>
      <c r="D11" s="4">
        <v>0.08</v>
      </c>
    </row>
    <row r="12" spans="1:8">
      <c r="A12" t="str">
        <f t="shared" si="0"/>
        <v>Moderado-FOFs</v>
      </c>
      <c r="B12" t="s">
        <v>3</v>
      </c>
      <c r="C12" s="2" t="s">
        <v>25</v>
      </c>
      <c r="D12" s="4">
        <v>0.05</v>
      </c>
    </row>
    <row r="13" spans="1:8">
      <c r="A13" t="str">
        <f t="shared" si="0"/>
        <v>Moderado-DESENVOLVIMENTO</v>
      </c>
      <c r="B13" t="s">
        <v>3</v>
      </c>
      <c r="C13" s="2" t="s">
        <v>26</v>
      </c>
      <c r="D13" s="4">
        <v>0.1</v>
      </c>
    </row>
    <row r="14" spans="1:8" ht="15" thickBot="1">
      <c r="A14" s="7" t="str">
        <f t="shared" si="0"/>
        <v>Moderado-HOTELARIAS</v>
      </c>
      <c r="B14" s="7" t="s">
        <v>3</v>
      </c>
      <c r="C14" s="8" t="s">
        <v>27</v>
      </c>
      <c r="D14" s="9">
        <v>0.1</v>
      </c>
    </row>
    <row r="15" spans="1:8">
      <c r="A15" t="str">
        <f t="shared" si="0"/>
        <v>Agressivo-PAPEL</v>
      </c>
      <c r="B15" t="s">
        <v>6</v>
      </c>
      <c r="C15" s="2" t="s">
        <v>21</v>
      </c>
      <c r="D15" s="4">
        <v>0.5</v>
      </c>
    </row>
    <row r="16" spans="1:8">
      <c r="A16" t="str">
        <f t="shared" si="0"/>
        <v>Agressivo-TIJOLO</v>
      </c>
      <c r="B16" t="s">
        <v>6</v>
      </c>
      <c r="C16" s="2" t="s">
        <v>22</v>
      </c>
      <c r="D16" s="4">
        <v>0.1</v>
      </c>
    </row>
    <row r="17" spans="1:4">
      <c r="A17" t="str">
        <f t="shared" si="0"/>
        <v>Agressivo-HÍBRIDOS</v>
      </c>
      <c r="B17" t="s">
        <v>6</v>
      </c>
      <c r="C17" s="2" t="s">
        <v>24</v>
      </c>
      <c r="D17" s="4">
        <v>0.05</v>
      </c>
    </row>
    <row r="18" spans="1:4">
      <c r="A18" t="str">
        <f t="shared" si="0"/>
        <v>Agressivo-FOFs</v>
      </c>
      <c r="B18" t="s">
        <v>6</v>
      </c>
      <c r="C18" s="2" t="s">
        <v>25</v>
      </c>
      <c r="D18" s="4">
        <v>0.05</v>
      </c>
    </row>
    <row r="19" spans="1:4">
      <c r="A19" t="str">
        <f t="shared" si="0"/>
        <v>Agressivo-DESENVOLVIMENTO</v>
      </c>
      <c r="B19" t="s">
        <v>6</v>
      </c>
      <c r="C19" s="2" t="s">
        <v>26</v>
      </c>
      <c r="D19" s="4">
        <v>0.2</v>
      </c>
    </row>
    <row r="20" spans="1:4">
      <c r="A20" t="str">
        <f t="shared" si="0"/>
        <v>Agressivo-HOTELARIAS</v>
      </c>
      <c r="B20" t="s">
        <v>6</v>
      </c>
      <c r="C20" s="2" t="s">
        <v>27</v>
      </c>
      <c r="D20" s="4">
        <v>0.1</v>
      </c>
    </row>
    <row r="21" spans="1:4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BBC473-00BC-48E4-BFA3-FE8E2B1F0015}"/>
</file>

<file path=customXml/itemProps2.xml><?xml version="1.0" encoding="utf-8"?>
<ds:datastoreItem xmlns:ds="http://schemas.openxmlformats.org/officeDocument/2006/customXml" ds:itemID="{54D0D6DD-E6DB-45C8-8F90-E314C090C085}"/>
</file>

<file path=customXml/itemProps3.xml><?xml version="1.0" encoding="utf-8"?>
<ds:datastoreItem xmlns:ds="http://schemas.openxmlformats.org/officeDocument/2006/customXml" ds:itemID="{C32110DE-3D77-470C-9CED-65521C30E3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Silva Aguiar</dc:creator>
  <cp:keywords/>
  <dc:description/>
  <cp:lastModifiedBy/>
  <cp:revision/>
  <dcterms:created xsi:type="dcterms:W3CDTF">2025-04-16T18:38:03Z</dcterms:created>
  <dcterms:modified xsi:type="dcterms:W3CDTF">2025-12-14T20:36:28Z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